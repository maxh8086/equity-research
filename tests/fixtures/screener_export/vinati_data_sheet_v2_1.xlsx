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VINATI ORGANICS LTD</t>
        </is>
      </c>
      <c r="E1">
        <f>IF(B2&lt;&gt;B3, "A NEW VERSION OF THE WORKSHEET IS AVAILABLE", "")</f>
        <v/>
      </c>
    </row>
    <row r="2">
      <c r="A2" t="inlineStr">
        <is>
          <t>LATEST VERSION</t>
        </is>
      </c>
      <c r="B2" t="n">
        <v>2.1</v>
      </c>
      <c r="E2" t="inlineStr">
        <is>
          <t>PLEASE DO NOT MAKE ANY CHANGES TO THIS SHEET</t>
        </is>
      </c>
    </row>
    <row r="3">
      <c r="A3" t="inlineStr">
        <is>
          <t>CURRENT VERSION</t>
        </is>
      </c>
      <c r="B3" t="n">
        <v>2.1</v>
      </c>
    </row>
    <row r="5">
      <c r="A5" t="inlineStr">
        <is>
          <t>META</t>
        </is>
      </c>
    </row>
    <row r="6">
      <c r="A6" t="inlineStr">
        <is>
          <t>Number of shares</t>
        </is>
      </c>
      <c r="B6">
        <f>IF(B9&gt;0, B9/B8, 0)</f>
        <v/>
      </c>
    </row>
    <row r="7">
      <c r="A7" t="inlineStr">
        <is>
          <t>Face Value</t>
        </is>
      </c>
      <c r="B7" t="n">
        <v>1</v>
      </c>
    </row>
    <row r="8">
      <c r="A8" t="inlineStr">
        <is>
          <t>Current Price</t>
        </is>
      </c>
      <c r="B8" t="n">
        <v>1988.05</v>
      </c>
    </row>
    <row r="9">
      <c r="A9" t="inlineStr">
        <is>
          <t>Market Capitalization</t>
        </is>
      </c>
      <c r="B9" t="n">
        <v>20433.59</v>
      </c>
    </row>
    <row r="15">
      <c r="A15" t="inlineStr">
        <is>
          <t>PROFIT &amp; LOSS</t>
        </is>
      </c>
    </row>
    <row r="16">
      <c r="A16" t="inlineStr">
        <is>
          <t>Report Date</t>
        </is>
      </c>
      <c r="B16" s="1" t="n">
        <v>41364</v>
      </c>
      <c r="C16" s="1" t="n">
        <v>41729</v>
      </c>
      <c r="D16" s="1" t="n">
        <v>42094</v>
      </c>
      <c r="E16" s="1" t="n">
        <v>42460</v>
      </c>
      <c r="F16" s="1" t="n">
        <v>42825</v>
      </c>
      <c r="G16" s="1" t="n">
        <v>43190</v>
      </c>
      <c r="H16" s="1" t="n">
        <v>43555</v>
      </c>
      <c r="I16" s="1" t="n">
        <v>43921</v>
      </c>
      <c r="J16" s="1" t="n">
        <v>44286</v>
      </c>
      <c r="K16" s="1" t="n">
        <v>44651</v>
      </c>
    </row>
    <row r="17">
      <c r="A17" t="inlineStr">
        <is>
          <t>Sales</t>
        </is>
      </c>
      <c r="B17" t="n">
        <v>554.27</v>
      </c>
      <c r="C17" t="n">
        <v>696.13</v>
      </c>
      <c r="D17" t="n">
        <v>771.73</v>
      </c>
      <c r="E17" t="n">
        <v>630.95</v>
      </c>
      <c r="F17" t="n">
        <v>640.79</v>
      </c>
      <c r="G17" t="n">
        <v>729.6799999999999</v>
      </c>
      <c r="H17" t="n">
        <v>1127.92</v>
      </c>
      <c r="I17" t="n">
        <v>1028.87</v>
      </c>
      <c r="J17" t="n">
        <v>954.26</v>
      </c>
      <c r="K17" t="n">
        <v>1615.51</v>
      </c>
    </row>
    <row r="18">
      <c r="A18" t="inlineStr">
        <is>
          <t>Raw Material Cost</t>
        </is>
      </c>
      <c r="B18" t="n">
        <v>339.85</v>
      </c>
      <c r="C18" t="n">
        <v>417.96</v>
      </c>
      <c r="D18" t="n">
        <v>455.89</v>
      </c>
      <c r="E18" t="n">
        <v>295.56</v>
      </c>
      <c r="F18" t="n">
        <v>306.13</v>
      </c>
      <c r="G18" t="n">
        <v>370.51</v>
      </c>
      <c r="H18" t="n">
        <v>528.59</v>
      </c>
      <c r="I18" t="n">
        <v>431.5</v>
      </c>
      <c r="J18" t="n">
        <v>415.86</v>
      </c>
      <c r="K18" t="n">
        <v>861.13</v>
      </c>
    </row>
    <row r="19">
      <c r="A19" t="inlineStr">
        <is>
          <t>Change in Inventory</t>
        </is>
      </c>
      <c r="B19" t="n">
        <v>4.73</v>
      </c>
      <c r="C19" t="n">
        <v>-0.85</v>
      </c>
      <c r="D19" t="n">
        <v>-0.65</v>
      </c>
      <c r="E19" t="n">
        <v>-0.75</v>
      </c>
      <c r="F19" t="n">
        <v>5.58</v>
      </c>
      <c r="G19" t="n">
        <v>-7.05</v>
      </c>
      <c r="H19" t="n">
        <v>3.49</v>
      </c>
      <c r="I19" t="n">
        <v>2.79</v>
      </c>
      <c r="J19" t="n">
        <v>28.2</v>
      </c>
      <c r="K19" t="n">
        <v>0.41</v>
      </c>
    </row>
    <row r="20">
      <c r="A20" t="inlineStr">
        <is>
          <t>Power and Fuel</t>
        </is>
      </c>
      <c r="B20" t="n">
        <v>30.88</v>
      </c>
      <c r="C20" t="n">
        <v>36.08</v>
      </c>
      <c r="D20" t="n">
        <v>31.33</v>
      </c>
      <c r="E20" t="n">
        <v>31.32</v>
      </c>
      <c r="F20" t="n">
        <v>36.95</v>
      </c>
      <c r="G20" t="n">
        <v>47.91</v>
      </c>
      <c r="H20" t="n">
        <v>56.36</v>
      </c>
      <c r="I20" t="n">
        <v>52.59</v>
      </c>
      <c r="J20" t="n">
        <v>63.38</v>
      </c>
      <c r="K20" t="n">
        <v>120.26</v>
      </c>
    </row>
    <row r="21">
      <c r="A21" t="inlineStr">
        <is>
          <t>Other Mfr. Exp</t>
        </is>
      </c>
      <c r="B21" t="n">
        <v>16.15</v>
      </c>
      <c r="C21" t="n">
        <v>22.45</v>
      </c>
      <c r="D21" t="n">
        <v>27.11</v>
      </c>
      <c r="E21" t="n">
        <v>33.24</v>
      </c>
      <c r="F21" t="n">
        <v>30.87</v>
      </c>
      <c r="G21" t="n">
        <v>43.11</v>
      </c>
      <c r="H21" t="n">
        <v>50.19</v>
      </c>
      <c r="I21" t="n">
        <v>50.42</v>
      </c>
      <c r="J21" t="n">
        <v>52.66</v>
      </c>
      <c r="K21" t="n">
        <v>85.47</v>
      </c>
    </row>
    <row r="22">
      <c r="A22" t="inlineStr">
        <is>
          <t>Employee Cost</t>
        </is>
      </c>
      <c r="B22" t="n">
        <v>22.62</v>
      </c>
      <c r="C22" t="n">
        <v>27.47</v>
      </c>
      <c r="D22" t="n">
        <v>31.94</v>
      </c>
      <c r="E22" t="n">
        <v>35.99</v>
      </c>
      <c r="F22" t="n">
        <v>41.97</v>
      </c>
      <c r="G22" t="n">
        <v>49.08</v>
      </c>
      <c r="H22" t="n">
        <v>54.31</v>
      </c>
      <c r="I22" t="n">
        <v>64.39</v>
      </c>
      <c r="J22" t="n">
        <v>72.78</v>
      </c>
      <c r="K22" t="n">
        <v>84.15000000000001</v>
      </c>
    </row>
    <row r="23">
      <c r="A23" t="inlineStr">
        <is>
          <t>Selling and admin</t>
        </is>
      </c>
      <c r="B23" t="n">
        <v>22.88</v>
      </c>
      <c r="C23" t="n">
        <v>26.15</v>
      </c>
      <c r="D23" t="n">
        <v>23.41</v>
      </c>
      <c r="E23" t="n">
        <v>16.65</v>
      </c>
      <c r="F23" t="n">
        <v>6.78</v>
      </c>
      <c r="G23" t="n">
        <v>8.210000000000001</v>
      </c>
      <c r="H23" t="n">
        <v>9.56</v>
      </c>
      <c r="I23" t="n">
        <v>10.52</v>
      </c>
      <c r="J23" t="n">
        <v>13.03</v>
      </c>
      <c r="K23" t="n">
        <v>13.5</v>
      </c>
    </row>
    <row r="24">
      <c r="A24" t="inlineStr">
        <is>
          <t>Other Expenses</t>
        </is>
      </c>
      <c r="B24" t="n">
        <v>6.28</v>
      </c>
      <c r="C24" t="n">
        <v>12.28</v>
      </c>
      <c r="D24" t="n">
        <v>9.300000000000001</v>
      </c>
      <c r="E24" t="n">
        <v>10.59</v>
      </c>
      <c r="F24" t="n">
        <v>5.83</v>
      </c>
      <c r="G24" t="n">
        <v>5.52</v>
      </c>
      <c r="H24" t="n">
        <v>7.39</v>
      </c>
      <c r="I24" t="n">
        <v>7.35</v>
      </c>
      <c r="J24" t="n">
        <v>11.49</v>
      </c>
      <c r="K24" t="n">
        <v>15.93</v>
      </c>
    </row>
    <row r="25">
      <c r="A25" t="inlineStr">
        <is>
          <t>Other Income</t>
        </is>
      </c>
      <c r="B25" t="n">
        <v>3.76</v>
      </c>
      <c r="C25" t="n">
        <v>9.17</v>
      </c>
      <c r="D25" t="n">
        <v>8.82</v>
      </c>
      <c r="E25" t="n">
        <v>6.09</v>
      </c>
      <c r="F25" t="n">
        <v>12.48</v>
      </c>
      <c r="G25" t="n">
        <v>30.62</v>
      </c>
      <c r="H25" t="n">
        <v>29.8</v>
      </c>
      <c r="I25" t="n">
        <v>44.99</v>
      </c>
      <c r="J25" t="n">
        <v>25.86</v>
      </c>
      <c r="K25" t="n">
        <v>60.96</v>
      </c>
    </row>
    <row r="26">
      <c r="A26" t="inlineStr">
        <is>
          <t>Depreciation</t>
        </is>
      </c>
      <c r="B26" t="n">
        <v>9.949999999999999</v>
      </c>
      <c r="C26" t="n">
        <v>15.32</v>
      </c>
      <c r="D26" t="n">
        <v>17.66</v>
      </c>
      <c r="E26" t="n">
        <v>18.52</v>
      </c>
      <c r="F26" t="n">
        <v>21.61</v>
      </c>
      <c r="G26" t="n">
        <v>23.36</v>
      </c>
      <c r="H26" t="n">
        <v>27.39</v>
      </c>
      <c r="I26" t="n">
        <v>33.16</v>
      </c>
      <c r="J26" t="n">
        <v>42.91</v>
      </c>
      <c r="K26" t="n">
        <v>45.49</v>
      </c>
    </row>
    <row r="27">
      <c r="A27" t="inlineStr">
        <is>
          <t>Interest</t>
        </is>
      </c>
      <c r="B27" t="n">
        <v>11.54</v>
      </c>
      <c r="C27" t="n">
        <v>18.15</v>
      </c>
      <c r="D27" t="n">
        <v>9.76</v>
      </c>
      <c r="E27" t="n">
        <v>7.86</v>
      </c>
      <c r="F27" t="n">
        <v>2.75</v>
      </c>
      <c r="G27" t="n">
        <v>2.17</v>
      </c>
      <c r="H27" t="n">
        <v>2.18</v>
      </c>
      <c r="I27" t="n">
        <v>2.04</v>
      </c>
      <c r="J27" t="n">
        <v>0.95</v>
      </c>
      <c r="K27" t="n">
        <v>1.65</v>
      </c>
    </row>
    <row r="28">
      <c r="A28" t="inlineStr">
        <is>
          <t>Profit before tax</t>
        </is>
      </c>
      <c r="B28" t="n">
        <v>102.61</v>
      </c>
      <c r="C28" t="n">
        <v>128.59</v>
      </c>
      <c r="D28" t="n">
        <v>173.5</v>
      </c>
      <c r="E28" t="n">
        <v>186.56</v>
      </c>
      <c r="F28" t="n">
        <v>205.96</v>
      </c>
      <c r="G28" t="n">
        <v>203.38</v>
      </c>
      <c r="H28" t="n">
        <v>425.24</v>
      </c>
      <c r="I28" t="n">
        <v>424.68</v>
      </c>
      <c r="J28" t="n">
        <v>335.26</v>
      </c>
      <c r="K28" t="n">
        <v>449.3</v>
      </c>
    </row>
    <row r="29">
      <c r="A29" t="inlineStr">
        <is>
          <t>Tax</t>
        </is>
      </c>
      <c r="B29" t="n">
        <v>33.94</v>
      </c>
      <c r="C29" t="n">
        <v>42.43</v>
      </c>
      <c r="D29" t="n">
        <v>57.7</v>
      </c>
      <c r="E29" t="n">
        <v>54.99</v>
      </c>
      <c r="F29" t="n">
        <v>65.69</v>
      </c>
      <c r="G29" t="n">
        <v>59.5</v>
      </c>
      <c r="H29" t="n">
        <v>142.75</v>
      </c>
      <c r="I29" t="n">
        <v>90.84</v>
      </c>
      <c r="J29" t="n">
        <v>65.91</v>
      </c>
      <c r="K29" t="n">
        <v>102.63</v>
      </c>
    </row>
    <row r="30">
      <c r="A30" t="inlineStr">
        <is>
          <t>Net profit</t>
        </is>
      </c>
      <c r="B30" t="n">
        <v>68.66</v>
      </c>
      <c r="C30" t="n">
        <v>86.15000000000001</v>
      </c>
      <c r="D30" t="n">
        <v>115.79</v>
      </c>
      <c r="E30" t="n">
        <v>131.57</v>
      </c>
      <c r="F30" t="n">
        <v>140.28</v>
      </c>
      <c r="G30" t="n">
        <v>143.88</v>
      </c>
      <c r="H30" t="n">
        <v>282.49</v>
      </c>
      <c r="I30" t="n">
        <v>333.83</v>
      </c>
      <c r="J30" t="n">
        <v>269.34</v>
      </c>
      <c r="K30" t="n">
        <v>346.68</v>
      </c>
    </row>
    <row r="31">
      <c r="A31" t="inlineStr">
        <is>
          <t>Dividend Amount</t>
        </is>
      </c>
      <c r="B31" t="n">
        <v>12.34</v>
      </c>
      <c r="C31" t="n">
        <v>14.8</v>
      </c>
      <c r="D31" t="n">
        <v>18.06</v>
      </c>
      <c r="E31" t="n">
        <v>20.64</v>
      </c>
      <c r="F31" t="n">
        <v>2.58</v>
      </c>
      <c r="G31" t="n">
        <v>23.13</v>
      </c>
      <c r="H31" t="n">
        <v>35.98</v>
      </c>
      <c r="I31" t="n">
        <v>56.54</v>
      </c>
      <c r="J31" t="n">
        <v>61.68</v>
      </c>
      <c r="K31" t="n">
        <v>66.81999999999999</v>
      </c>
    </row>
    <row r="40">
      <c r="A40" t="inlineStr">
        <is>
          <t>Quarters</t>
        </is>
      </c>
    </row>
    <row r="41">
      <c r="A41" t="inlineStr">
        <is>
          <t>Report Date</t>
        </is>
      </c>
      <c r="B41" s="1" t="n">
        <v>44012</v>
      </c>
      <c r="C41" s="1" t="n">
        <v>44104</v>
      </c>
      <c r="D41" s="1" t="n">
        <v>44196</v>
      </c>
      <c r="E41" s="1" t="n">
        <v>44286</v>
      </c>
      <c r="F41" s="1" t="n">
        <v>44377</v>
      </c>
      <c r="G41" s="1" t="n">
        <v>44469</v>
      </c>
      <c r="H41" s="1" t="n">
        <v>44561</v>
      </c>
      <c r="I41" s="1" t="n">
        <v>44651</v>
      </c>
      <c r="J41" s="1" t="n">
        <v>44742</v>
      </c>
      <c r="K41" s="1" t="n">
        <v>44834</v>
      </c>
    </row>
    <row r="42">
      <c r="A42" t="inlineStr">
        <is>
          <t>Sales</t>
        </is>
      </c>
      <c r="B42" t="n">
        <v>231.57</v>
      </c>
      <c r="C42" t="n">
        <v>219.44</v>
      </c>
      <c r="D42" t="n">
        <v>223.47</v>
      </c>
      <c r="E42" t="n">
        <v>279.77</v>
      </c>
      <c r="F42" t="n">
        <v>386.37</v>
      </c>
      <c r="G42" t="n">
        <v>374.1</v>
      </c>
      <c r="H42" t="n">
        <v>368.95</v>
      </c>
      <c r="I42" t="n">
        <v>486.09</v>
      </c>
      <c r="J42" t="n">
        <v>506.32</v>
      </c>
      <c r="K42" t="n">
        <v>566.29</v>
      </c>
    </row>
    <row r="43">
      <c r="A43" t="inlineStr">
        <is>
          <t>Expenses</t>
        </is>
      </c>
      <c r="B43" t="n">
        <v>134.39</v>
      </c>
      <c r="C43" t="n">
        <v>135.31</v>
      </c>
      <c r="D43" t="n">
        <v>151.38</v>
      </c>
      <c r="E43" t="n">
        <v>180.65</v>
      </c>
      <c r="F43" t="n">
        <v>284.86</v>
      </c>
      <c r="G43" t="n">
        <v>273.09</v>
      </c>
      <c r="H43" t="n">
        <v>276.18</v>
      </c>
      <c r="I43" t="n">
        <v>347.31</v>
      </c>
      <c r="J43" t="n">
        <v>375.44</v>
      </c>
      <c r="K43" t="n">
        <v>417.82</v>
      </c>
    </row>
    <row r="44">
      <c r="A44" t="inlineStr">
        <is>
          <t>Other Income</t>
        </is>
      </c>
      <c r="B44" t="n">
        <v>8.6</v>
      </c>
      <c r="C44" t="n">
        <v>1.4</v>
      </c>
      <c r="D44" t="n">
        <v>9.289999999999999</v>
      </c>
      <c r="E44" t="n">
        <v>6.57</v>
      </c>
      <c r="F44" t="n">
        <v>17.61</v>
      </c>
      <c r="G44" t="n">
        <v>13.58</v>
      </c>
      <c r="H44" t="n">
        <v>14.65</v>
      </c>
      <c r="I44" t="n">
        <v>15.13</v>
      </c>
      <c r="J44" t="n">
        <v>18.69</v>
      </c>
      <c r="K44" t="n">
        <v>19.97</v>
      </c>
    </row>
    <row r="45">
      <c r="A45" t="inlineStr">
        <is>
          <t>Depreciation</t>
        </is>
      </c>
      <c r="B45" t="n">
        <v>10.65</v>
      </c>
      <c r="C45" t="n">
        <v>10.76</v>
      </c>
      <c r="D45" t="n">
        <v>10.77</v>
      </c>
      <c r="E45" t="n">
        <v>10.73</v>
      </c>
      <c r="F45" t="n">
        <v>11.01</v>
      </c>
      <c r="G45" t="n">
        <v>11.28</v>
      </c>
      <c r="H45" t="n">
        <v>11.52</v>
      </c>
      <c r="I45" t="n">
        <v>11.69</v>
      </c>
      <c r="J45" t="n">
        <v>12.83</v>
      </c>
      <c r="K45" t="n">
        <v>13.05</v>
      </c>
    </row>
    <row r="46">
      <c r="A46" t="inlineStr">
        <is>
          <t>Interest</t>
        </is>
      </c>
      <c r="B46" t="n">
        <v>0.04</v>
      </c>
      <c r="C46" t="n">
        <v>0.05</v>
      </c>
      <c r="D46" t="n">
        <v>0.01</v>
      </c>
      <c r="E46" t="n">
        <v>0.11</v>
      </c>
      <c r="F46" t="n">
        <v>0.01</v>
      </c>
      <c r="H46" t="n">
        <v>0.01</v>
      </c>
      <c r="I46" t="n">
        <v>0.23</v>
      </c>
      <c r="J46" t="n">
        <v>0.47</v>
      </c>
      <c r="K46" t="n">
        <v>0.01</v>
      </c>
    </row>
    <row r="47">
      <c r="A47" t="inlineStr">
        <is>
          <t>Profit before tax</t>
        </is>
      </c>
      <c r="B47" t="n">
        <v>95.09</v>
      </c>
      <c r="C47" t="n">
        <v>74.72</v>
      </c>
      <c r="D47" t="n">
        <v>70.59999999999999</v>
      </c>
      <c r="E47" t="n">
        <v>94.84999999999999</v>
      </c>
      <c r="F47" t="n">
        <v>108.1</v>
      </c>
      <c r="G47" t="n">
        <v>103.31</v>
      </c>
      <c r="H47" t="n">
        <v>95.89</v>
      </c>
      <c r="I47" t="n">
        <v>141.99</v>
      </c>
      <c r="J47" t="n">
        <v>136.27</v>
      </c>
      <c r="K47" t="n">
        <v>155.38</v>
      </c>
    </row>
    <row r="48">
      <c r="A48" t="inlineStr">
        <is>
          <t>Tax</t>
        </is>
      </c>
      <c r="B48" t="n">
        <v>22.79</v>
      </c>
      <c r="C48" t="n">
        <v>12.68</v>
      </c>
      <c r="D48" t="n">
        <v>6.47</v>
      </c>
      <c r="E48" t="n">
        <v>23.99</v>
      </c>
      <c r="F48" t="n">
        <v>27.16</v>
      </c>
      <c r="G48" t="n">
        <v>21.95</v>
      </c>
      <c r="H48" t="n">
        <v>12.63</v>
      </c>
      <c r="I48" t="n">
        <v>40.89</v>
      </c>
      <c r="J48" t="n">
        <v>35.09</v>
      </c>
      <c r="K48" t="n">
        <v>39.38</v>
      </c>
    </row>
    <row r="49">
      <c r="A49" t="inlineStr">
        <is>
          <t>Net profit</t>
        </is>
      </c>
      <c r="B49" t="n">
        <v>72.3</v>
      </c>
      <c r="C49" t="n">
        <v>62.04</v>
      </c>
      <c r="D49" t="n">
        <v>64.14</v>
      </c>
      <c r="E49" t="n">
        <v>70.86</v>
      </c>
      <c r="F49" t="n">
        <v>80.95</v>
      </c>
      <c r="G49" t="n">
        <v>81.36</v>
      </c>
      <c r="H49" t="n">
        <v>83.27</v>
      </c>
      <c r="I49" t="n">
        <v>101.1</v>
      </c>
      <c r="J49" t="n">
        <v>101.19</v>
      </c>
      <c r="K49" t="n">
        <v>116.01</v>
      </c>
    </row>
    <row r="50">
      <c r="A50" t="inlineStr">
        <is>
          <t>Operating Profit</t>
        </is>
      </c>
      <c r="B50" t="n">
        <v>97.18000000000001</v>
      </c>
      <c r="C50" t="n">
        <v>84.13</v>
      </c>
      <c r="D50" t="n">
        <v>72.09</v>
      </c>
      <c r="E50" t="n">
        <v>99.12</v>
      </c>
      <c r="F50" t="n">
        <v>101.51</v>
      </c>
      <c r="G50" t="n">
        <v>101.01</v>
      </c>
      <c r="H50" t="n">
        <v>92.77</v>
      </c>
      <c r="I50" t="n">
        <v>138.78</v>
      </c>
      <c r="J50" t="n">
        <v>130.88</v>
      </c>
      <c r="K50" t="n">
        <v>148.47</v>
      </c>
    </row>
    <row r="55">
      <c r="A55" t="inlineStr">
        <is>
          <t>BALANCE SHEET</t>
        </is>
      </c>
    </row>
    <row r="56">
      <c r="A56" t="inlineStr">
        <is>
          <t>Report Date</t>
        </is>
      </c>
      <c r="B56" s="1" t="n">
        <v>41364</v>
      </c>
      <c r="C56" s="1" t="n">
        <v>41729</v>
      </c>
      <c r="D56" s="1" t="n">
        <v>42094</v>
      </c>
      <c r="E56" s="1" t="n">
        <v>42460</v>
      </c>
      <c r="F56" s="1" t="n">
        <v>42825</v>
      </c>
      <c r="G56" s="1" t="n">
        <v>43190</v>
      </c>
      <c r="H56" s="1" t="n">
        <v>43555</v>
      </c>
      <c r="I56" s="1" t="n">
        <v>43921</v>
      </c>
      <c r="J56" s="1" t="n">
        <v>44286</v>
      </c>
      <c r="K56" s="1" t="n">
        <v>44651</v>
      </c>
    </row>
    <row r="57">
      <c r="A57" t="inlineStr">
        <is>
          <t>Equity Share Capital</t>
        </is>
      </c>
      <c r="B57" t="n">
        <v>9.869999999999999</v>
      </c>
      <c r="C57" t="n">
        <v>9.869999999999999</v>
      </c>
      <c r="D57" t="n">
        <v>10.32</v>
      </c>
      <c r="E57" t="n">
        <v>10.32</v>
      </c>
      <c r="F57" t="n">
        <v>10.32</v>
      </c>
      <c r="G57" t="n">
        <v>10.28</v>
      </c>
      <c r="H57" t="n">
        <v>10.28</v>
      </c>
      <c r="I57" t="n">
        <v>10.28</v>
      </c>
      <c r="J57" t="n">
        <v>10.28</v>
      </c>
      <c r="K57" t="n">
        <v>10.28</v>
      </c>
    </row>
    <row r="58">
      <c r="A58" t="inlineStr">
        <is>
          <t>Reserves</t>
        </is>
      </c>
      <c r="B58" t="n">
        <v>231.37</v>
      </c>
      <c r="C58" t="n">
        <v>300.2</v>
      </c>
      <c r="D58" t="n">
        <v>423.73</v>
      </c>
      <c r="E58" t="n">
        <v>530.46</v>
      </c>
      <c r="F58" t="n">
        <v>669.6900000000001</v>
      </c>
      <c r="G58" t="n">
        <v>786.39</v>
      </c>
      <c r="H58" t="n">
        <v>1041</v>
      </c>
      <c r="I58" t="n">
        <v>1269.13</v>
      </c>
      <c r="J58" t="n">
        <v>1533.14</v>
      </c>
      <c r="K58" t="n">
        <v>1817.86</v>
      </c>
    </row>
    <row r="59">
      <c r="A59" t="inlineStr">
        <is>
          <t>Borrowings</t>
        </is>
      </c>
      <c r="B59" t="n">
        <v>237.26</v>
      </c>
      <c r="C59" t="n">
        <v>161.58</v>
      </c>
      <c r="D59" t="n">
        <v>65.3</v>
      </c>
      <c r="E59" t="n">
        <v>42.07</v>
      </c>
      <c r="F59" t="n">
        <v>2.32</v>
      </c>
      <c r="G59" t="n">
        <v>15.2</v>
      </c>
      <c r="H59" t="n">
        <v>3.68</v>
      </c>
      <c r="I59" t="n">
        <v>0.35</v>
      </c>
      <c r="J59" t="n">
        <v>2.02</v>
      </c>
      <c r="K59" t="n">
        <v>18.4</v>
      </c>
    </row>
    <row r="60">
      <c r="A60" t="inlineStr">
        <is>
          <t>Other Liabilities</t>
        </is>
      </c>
      <c r="B60" t="n">
        <v>67.13</v>
      </c>
      <c r="C60" t="n">
        <v>80.45999999999999</v>
      </c>
      <c r="D60" t="n">
        <v>99.84</v>
      </c>
      <c r="E60" t="n">
        <v>104.11</v>
      </c>
      <c r="F60" t="n">
        <v>138.8</v>
      </c>
      <c r="G60" t="n">
        <v>168.08</v>
      </c>
      <c r="H60" t="n">
        <v>172.62</v>
      </c>
      <c r="I60" t="n">
        <v>163.22</v>
      </c>
      <c r="J60" t="n">
        <v>188.06</v>
      </c>
      <c r="K60" t="n">
        <v>243.23</v>
      </c>
    </row>
    <row r="61">
      <c r="A61" t="inlineStr">
        <is>
          <t>Total</t>
        </is>
      </c>
      <c r="B61" t="n">
        <v>545.63</v>
      </c>
      <c r="C61" t="n">
        <v>552.11</v>
      </c>
      <c r="D61" t="n">
        <v>599.1900000000001</v>
      </c>
      <c r="E61" t="n">
        <v>686.96</v>
      </c>
      <c r="F61" t="n">
        <v>821.13</v>
      </c>
      <c r="G61" t="n">
        <v>979.95</v>
      </c>
      <c r="H61" t="n">
        <v>1227.58</v>
      </c>
      <c r="I61" t="n">
        <v>1442.98</v>
      </c>
      <c r="J61" t="n">
        <v>1733.5</v>
      </c>
      <c r="K61" t="n">
        <v>2089.77</v>
      </c>
    </row>
    <row r="62">
      <c r="A62" t="inlineStr">
        <is>
          <t>Net Block</t>
        </is>
      </c>
      <c r="B62" t="n">
        <v>290.13</v>
      </c>
      <c r="C62" t="n">
        <v>304.19</v>
      </c>
      <c r="D62" t="n">
        <v>327.25</v>
      </c>
      <c r="E62" t="n">
        <v>381.89</v>
      </c>
      <c r="F62" t="n">
        <v>467.6</v>
      </c>
      <c r="G62" t="n">
        <v>456.84</v>
      </c>
      <c r="H62" t="n">
        <v>474.51</v>
      </c>
      <c r="I62" t="n">
        <v>750.76</v>
      </c>
      <c r="J62" t="n">
        <v>756.83</v>
      </c>
      <c r="K62" t="n">
        <v>873.17</v>
      </c>
    </row>
    <row r="63">
      <c r="A63" t="inlineStr">
        <is>
          <t>Capital Work in Progress</t>
        </is>
      </c>
      <c r="B63" t="n">
        <v>14.05</v>
      </c>
      <c r="C63" t="n">
        <v>10.09</v>
      </c>
      <c r="D63" t="n">
        <v>20.02</v>
      </c>
      <c r="E63" t="n">
        <v>24.83</v>
      </c>
      <c r="F63" t="n">
        <v>7.38</v>
      </c>
      <c r="G63" t="n">
        <v>34.88</v>
      </c>
      <c r="H63" t="n">
        <v>191.18</v>
      </c>
      <c r="I63" t="n">
        <v>30.97</v>
      </c>
      <c r="J63" t="n">
        <v>54.69</v>
      </c>
      <c r="K63" t="n">
        <v>47.29</v>
      </c>
    </row>
    <row r="64">
      <c r="A64" t="inlineStr">
        <is>
          <t>Investments</t>
        </is>
      </c>
      <c r="B64" t="n">
        <v>12.77</v>
      </c>
      <c r="C64" t="n">
        <v>2.74</v>
      </c>
      <c r="D64" t="n">
        <v>2.74</v>
      </c>
      <c r="E64" t="n">
        <v>2.74</v>
      </c>
      <c r="F64" t="n">
        <v>61.83</v>
      </c>
      <c r="G64" t="n">
        <v>131.74</v>
      </c>
      <c r="H64" t="n">
        <v>96.47</v>
      </c>
      <c r="I64" t="n">
        <v>227.39</v>
      </c>
      <c r="J64" t="n">
        <v>288.67</v>
      </c>
      <c r="K64" t="n">
        <v>97.88</v>
      </c>
    </row>
    <row r="65">
      <c r="A65" t="inlineStr">
        <is>
          <t>Other Assets</t>
        </is>
      </c>
      <c r="B65" t="n">
        <v>228.68</v>
      </c>
      <c r="C65" t="n">
        <v>235.09</v>
      </c>
      <c r="D65" t="n">
        <v>249.18</v>
      </c>
      <c r="E65" t="n">
        <v>277.5</v>
      </c>
      <c r="F65" t="n">
        <v>284.32</v>
      </c>
      <c r="G65" t="n">
        <v>356.49</v>
      </c>
      <c r="H65" t="n">
        <v>465.42</v>
      </c>
      <c r="I65" t="n">
        <v>433.86</v>
      </c>
      <c r="J65" t="n">
        <v>633.3099999999999</v>
      </c>
      <c r="K65" t="n">
        <v>1071.43</v>
      </c>
    </row>
    <row r="66">
      <c r="A66" t="inlineStr">
        <is>
          <t>Total</t>
        </is>
      </c>
      <c r="B66" t="n">
        <v>545.63</v>
      </c>
      <c r="C66" t="n">
        <v>552.11</v>
      </c>
      <c r="D66" t="n">
        <v>599.1900000000001</v>
      </c>
      <c r="E66" t="n">
        <v>686.96</v>
      </c>
      <c r="F66" t="n">
        <v>821.13</v>
      </c>
      <c r="G66" t="n">
        <v>979.95</v>
      </c>
      <c r="H66" t="n">
        <v>1227.58</v>
      </c>
      <c r="I66" t="n">
        <v>1442.98</v>
      </c>
      <c r="J66" t="n">
        <v>1733.5</v>
      </c>
      <c r="K66" t="n">
        <v>2089.77</v>
      </c>
    </row>
    <row r="67">
      <c r="A67" t="inlineStr">
        <is>
          <t>Receivables</t>
        </is>
      </c>
      <c r="B67" t="n">
        <v>113.19</v>
      </c>
      <c r="C67" t="n">
        <v>115.05</v>
      </c>
      <c r="D67" t="n">
        <v>129.1</v>
      </c>
      <c r="E67" t="n">
        <v>114.82</v>
      </c>
      <c r="F67" t="n">
        <v>140.54</v>
      </c>
      <c r="G67" t="n">
        <v>177.11</v>
      </c>
      <c r="H67" t="n">
        <v>243.98</v>
      </c>
      <c r="I67" t="n">
        <v>201.78</v>
      </c>
      <c r="J67" t="n">
        <v>277.16</v>
      </c>
      <c r="K67" t="n">
        <v>458.38</v>
      </c>
    </row>
    <row r="68">
      <c r="A68" t="inlineStr">
        <is>
          <t>Inventory</t>
        </is>
      </c>
      <c r="B68" t="n">
        <v>54.64</v>
      </c>
      <c r="C68" t="n">
        <v>46.63</v>
      </c>
      <c r="D68" t="n">
        <v>54.49</v>
      </c>
      <c r="E68" t="n">
        <v>44.7</v>
      </c>
      <c r="F68" t="n">
        <v>65.06999999999999</v>
      </c>
      <c r="G68" t="n">
        <v>82.23</v>
      </c>
      <c r="H68" t="n">
        <v>92.39</v>
      </c>
      <c r="I68" t="n">
        <v>93.17</v>
      </c>
      <c r="J68" t="n">
        <v>121.94</v>
      </c>
      <c r="K68" t="n">
        <v>176.16</v>
      </c>
    </row>
    <row r="69">
      <c r="A69" t="inlineStr">
        <is>
          <t>Cash &amp; Bank</t>
        </is>
      </c>
      <c r="B69" t="n">
        <v>33.77</v>
      </c>
      <c r="C69" t="n">
        <v>42.7</v>
      </c>
      <c r="D69" t="n">
        <v>27.14</v>
      </c>
      <c r="E69" t="n">
        <v>72.23</v>
      </c>
      <c r="F69" t="n">
        <v>4.75</v>
      </c>
      <c r="G69" t="n">
        <v>5.24</v>
      </c>
      <c r="H69" t="n">
        <v>3.8</v>
      </c>
      <c r="I69" t="n">
        <v>53.7</v>
      </c>
      <c r="J69" t="n">
        <v>6.85</v>
      </c>
      <c r="K69" t="n">
        <v>4.28</v>
      </c>
    </row>
    <row r="70">
      <c r="A70" t="inlineStr">
        <is>
          <t>No. of Equity Shares</t>
        </is>
      </c>
      <c r="B70" t="n">
        <v>49372500</v>
      </c>
      <c r="C70" t="n">
        <v>49372500</v>
      </c>
      <c r="D70" t="n">
        <v>51591025</v>
      </c>
      <c r="E70" t="n">
        <v>51591025</v>
      </c>
      <c r="F70" t="n">
        <v>51591025</v>
      </c>
      <c r="G70" t="n">
        <v>51391000</v>
      </c>
      <c r="H70" t="n">
        <v>51391000</v>
      </c>
      <c r="I70" t="n">
        <v>102782050</v>
      </c>
      <c r="J70" t="n">
        <v>102782050</v>
      </c>
      <c r="K70" t="n">
        <v>102782050</v>
      </c>
    </row>
    <row r="71">
      <c r="A71" t="inlineStr">
        <is>
          <t>New Bonus Shares</t>
        </is>
      </c>
      <c r="H71" t="n">
        <v>16457500</v>
      </c>
      <c r="J71" t="n">
        <v>16457500</v>
      </c>
    </row>
    <row r="72">
      <c r="A72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1</v>
      </c>
      <c r="J72" t="n">
        <v>1</v>
      </c>
      <c r="K72" t="n">
        <v>1</v>
      </c>
    </row>
    <row r="80">
      <c r="A80" t="inlineStr">
        <is>
          <t>CASH FLOW:</t>
        </is>
      </c>
    </row>
    <row r="81">
      <c r="A81" t="inlineStr">
        <is>
          <t>Report Date</t>
        </is>
      </c>
      <c r="B81" s="1" t="n">
        <v>41364</v>
      </c>
      <c r="C81" s="1" t="n">
        <v>41729</v>
      </c>
      <c r="D81" s="1" t="n">
        <v>42094</v>
      </c>
      <c r="E81" s="1" t="n">
        <v>42460</v>
      </c>
      <c r="F81" s="1" t="n">
        <v>42825</v>
      </c>
      <c r="G81" s="1" t="n">
        <v>43190</v>
      </c>
      <c r="H81" s="1" t="n">
        <v>43555</v>
      </c>
      <c r="I81" s="1" t="n">
        <v>43921</v>
      </c>
      <c r="J81" s="1" t="n">
        <v>44286</v>
      </c>
      <c r="K81" s="1" t="n">
        <v>44651</v>
      </c>
    </row>
    <row r="82">
      <c r="A82" t="inlineStr">
        <is>
          <t>Cash from Operating Activity</t>
        </is>
      </c>
      <c r="B82" t="n">
        <v>92.09999999999999</v>
      </c>
      <c r="C82" t="n">
        <v>131.46</v>
      </c>
      <c r="D82" t="n">
        <v>112.56</v>
      </c>
      <c r="E82" t="n">
        <v>167.49</v>
      </c>
      <c r="F82" t="n">
        <v>130.43</v>
      </c>
      <c r="G82" t="n">
        <v>138.33</v>
      </c>
      <c r="H82" t="n">
        <v>200.36</v>
      </c>
      <c r="I82" t="n">
        <v>415.93</v>
      </c>
      <c r="J82" t="n">
        <v>218.91</v>
      </c>
      <c r="K82" t="n">
        <v>127.1</v>
      </c>
    </row>
    <row r="83">
      <c r="A83" t="inlineStr">
        <is>
          <t>Cash from Investing Activity</t>
        </is>
      </c>
      <c r="B83" t="n">
        <v>-112.58</v>
      </c>
      <c r="C83" t="n">
        <v>-9.039999999999999</v>
      </c>
      <c r="D83" t="n">
        <v>-53.49</v>
      </c>
      <c r="E83" t="n">
        <v>-72.19</v>
      </c>
      <c r="F83" t="n">
        <v>-26.79</v>
      </c>
      <c r="G83" t="n">
        <v>-38.78</v>
      </c>
      <c r="H83" t="n">
        <v>-242.71</v>
      </c>
      <c r="I83" t="n">
        <v>-197.46</v>
      </c>
      <c r="J83" t="n">
        <v>-198.21</v>
      </c>
      <c r="K83" t="n">
        <v>-255.8</v>
      </c>
    </row>
    <row r="84">
      <c r="A84" t="inlineStr">
        <is>
          <t>Cash from Financing Activity</t>
        </is>
      </c>
      <c r="B84" t="n">
        <v>22.3</v>
      </c>
      <c r="C84" t="n">
        <v>-113.49</v>
      </c>
      <c r="D84" t="n">
        <v>-74.63</v>
      </c>
      <c r="E84" t="n">
        <v>-50.22</v>
      </c>
      <c r="F84" t="n">
        <v>-45.08</v>
      </c>
      <c r="G84" t="n">
        <v>-29.86</v>
      </c>
      <c r="H84" t="n">
        <v>-40.26</v>
      </c>
      <c r="I84" t="n">
        <v>-109.05</v>
      </c>
      <c r="J84" t="n">
        <v>-3.1</v>
      </c>
      <c r="K84" t="n">
        <v>-46.43</v>
      </c>
    </row>
    <row r="85">
      <c r="A85" t="inlineStr">
        <is>
          <t>Net Cash Flow</t>
        </is>
      </c>
      <c r="B85" t="n">
        <v>1.82</v>
      </c>
      <c r="C85" t="n">
        <v>8.93</v>
      </c>
      <c r="D85" t="n">
        <v>-15.56</v>
      </c>
      <c r="E85" t="n">
        <v>45.09</v>
      </c>
      <c r="F85" t="n">
        <v>58.57</v>
      </c>
      <c r="G85" t="n">
        <v>69.69</v>
      </c>
      <c r="H85" t="n">
        <v>-82.62</v>
      </c>
      <c r="I85" t="n">
        <v>109.42</v>
      </c>
      <c r="J85" t="n">
        <v>17.6</v>
      </c>
      <c r="K85" t="n">
        <v>-175.13</v>
      </c>
    </row>
    <row r="90">
      <c r="A90" t="inlineStr">
        <is>
          <t>PRICE:</t>
        </is>
      </c>
      <c r="B90" t="n">
        <v>51.88</v>
      </c>
      <c r="C90" t="n">
        <v>140.53</v>
      </c>
      <c r="D90" t="n">
        <v>261.95</v>
      </c>
      <c r="E90" t="n">
        <v>194.53</v>
      </c>
      <c r="F90" t="n">
        <v>379</v>
      </c>
      <c r="G90" t="n">
        <v>451.28</v>
      </c>
      <c r="H90" t="n">
        <v>822.1799999999999</v>
      </c>
      <c r="I90" t="n">
        <v>774.55</v>
      </c>
      <c r="J90" t="n">
        <v>1399.95</v>
      </c>
      <c r="K90" t="n">
        <v>1953.2</v>
      </c>
    </row>
    <row r="92">
      <c r="A92" t="inlineStr">
        <is>
          <t>DERIVED:</t>
        </is>
      </c>
    </row>
    <row r="93">
      <c r="A93" t="inlineStr">
        <is>
          <t>Adjusted Equity Shares in Cr</t>
        </is>
      </c>
      <c r="B93" t="n">
        <v>9.85</v>
      </c>
      <c r="C93" t="n">
        <v>9.85</v>
      </c>
      <c r="D93" t="n">
        <v>10.32</v>
      </c>
      <c r="E93" t="n">
        <v>10.32</v>
      </c>
      <c r="F93" t="n">
        <v>10.32</v>
      </c>
      <c r="G93" t="n">
        <v>10.28</v>
      </c>
      <c r="H93" t="n">
        <v>10.28</v>
      </c>
      <c r="I93" t="n">
        <v>10.28</v>
      </c>
      <c r="J93" t="n">
        <v>10.28</v>
      </c>
      <c r="K93" t="n">
        <v>10.28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</dc:creator>
  <dcterms:created xsi:type="dcterms:W3CDTF">2026-09-20T00:00:00Z</dcterms:created>
  <dcterms:modified xsi:type="dcterms:W3CDTF">2026-09-19T18:34:26Z</dcterms:modified>
</cp:coreProperties>
</file>